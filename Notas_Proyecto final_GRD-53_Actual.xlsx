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ego FRM\Downloads\"/>
    </mc:Choice>
  </mc:AlternateContent>
  <xr:revisionPtr revIDLastSave="0" documentId="13_ncr:1_{CA04FC60-F64C-41AA-89A5-83B52D98AE1C}" xr6:coauthVersionLast="47" xr6:coauthVersionMax="47" xr10:uidLastSave="{00000000-0000-0000-0000-000000000000}"/>
  <bookViews>
    <workbookView xWindow="-120" yWindow="-120" windowWidth="20730" windowHeight="11160" xr2:uid="{F55CC688-1814-46A6-8BE8-FAFEB11D794A}"/>
  </bookViews>
  <sheets>
    <sheet name="Proyecto GRD-53" sheetId="1" r:id="rId1"/>
    <sheet name="Topologia" sheetId="2" r:id="rId2"/>
    <sheet name="Direccionamiento" sheetId="3" r:id="rId3"/>
  </sheets>
  <definedNames>
    <definedName name="_xlnm._FilterDatabase" localSheetId="0" hidden="1">'Proyecto GRD-53'!$A$2:$Q$2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20" i="1" l="1"/>
  <c r="D21" i="1"/>
  <c r="J21" i="1"/>
  <c r="P20" i="1"/>
</calcChain>
</file>

<file path=xl/sharedStrings.xml><?xml version="1.0" encoding="utf-8"?>
<sst xmlns="http://schemas.openxmlformats.org/spreadsheetml/2006/main" count="185" uniqueCount="104">
  <si>
    <t>Correo</t>
  </si>
  <si>
    <t>NPS</t>
  </si>
  <si>
    <t>Directorio activo</t>
  </si>
  <si>
    <t>Replica D.A</t>
  </si>
  <si>
    <t>DNS</t>
  </si>
  <si>
    <t>DHCPV6</t>
  </si>
  <si>
    <t>CA</t>
  </si>
  <si>
    <t>HTTPS</t>
  </si>
  <si>
    <t>FTPS</t>
  </si>
  <si>
    <t>Archivo</t>
  </si>
  <si>
    <t>Replica DFS</t>
  </si>
  <si>
    <t>RDS</t>
  </si>
  <si>
    <t>RAID</t>
  </si>
  <si>
    <t>Impresión</t>
  </si>
  <si>
    <t>NTP</t>
  </si>
  <si>
    <t>Syslog</t>
  </si>
  <si>
    <t>TFTP</t>
  </si>
  <si>
    <t>Tema</t>
  </si>
  <si>
    <t>Responsable</t>
  </si>
  <si>
    <t>%</t>
  </si>
  <si>
    <t>Puntaje</t>
  </si>
  <si>
    <t>OK</t>
  </si>
  <si>
    <t>CUPS</t>
  </si>
  <si>
    <t>FREERADIUS</t>
  </si>
  <si>
    <t>CORREO</t>
  </si>
  <si>
    <t>SSH</t>
  </si>
  <si>
    <t>OPENLDAP</t>
  </si>
  <si>
    <t>TELEFONIA IP</t>
  </si>
  <si>
    <t>SYSLOG</t>
  </si>
  <si>
    <t>OPENSSL</t>
  </si>
  <si>
    <t>SAMBA</t>
  </si>
  <si>
    <t>WDS</t>
  </si>
  <si>
    <t>CISCO</t>
  </si>
  <si>
    <t>LINUX</t>
  </si>
  <si>
    <t>WINDOWS</t>
  </si>
  <si>
    <t>VPN-IKEv-2</t>
  </si>
  <si>
    <t>Telefonia IP</t>
  </si>
  <si>
    <t>Conf bas +SSH</t>
  </si>
  <si>
    <t>Tunel (IPv4 - IPv6)</t>
  </si>
  <si>
    <t>Enrutamiento IPv6</t>
  </si>
  <si>
    <t>NAT sobrecargado</t>
  </si>
  <si>
    <t>Ether-channel</t>
  </si>
  <si>
    <t>Spanning-Tree</t>
  </si>
  <si>
    <t>HSRP</t>
  </si>
  <si>
    <t>DHCP Relay</t>
  </si>
  <si>
    <t>Seguridad de puertos</t>
  </si>
  <si>
    <t>BPDU -Guard</t>
  </si>
  <si>
    <t>ACL VTY</t>
  </si>
  <si>
    <t>VTP</t>
  </si>
  <si>
    <t>AAA</t>
  </si>
  <si>
    <t>CIBER</t>
  </si>
  <si>
    <t>DHCP(V4-V6)</t>
  </si>
  <si>
    <t xml:space="preserve"> </t>
  </si>
  <si>
    <t>Responsable de Isla: Agredo</t>
  </si>
  <si>
    <t>Responsable de Isla: Janet-Agredo</t>
  </si>
  <si>
    <t>DNS -CA</t>
  </si>
  <si>
    <t>VLAN</t>
  </si>
  <si>
    <t>Nombre de VLAN</t>
  </si>
  <si>
    <t>Asignacion de  puertos</t>
  </si>
  <si>
    <t>Modo</t>
  </si>
  <si>
    <t>Switch</t>
  </si>
  <si>
    <t>Aprendices</t>
  </si>
  <si>
    <t>Instructores</t>
  </si>
  <si>
    <t>Admin-cali</t>
  </si>
  <si>
    <t>pto 8 al 20</t>
  </si>
  <si>
    <t>pto 21 al 24</t>
  </si>
  <si>
    <t>pto 1 al 7</t>
  </si>
  <si>
    <t>Access</t>
  </si>
  <si>
    <t>Trunk</t>
  </si>
  <si>
    <t>Cali</t>
  </si>
  <si>
    <t>IP</t>
  </si>
  <si>
    <t>IP's</t>
  </si>
  <si>
    <t>Admin-bogota</t>
  </si>
  <si>
    <t>Wifi</t>
  </si>
  <si>
    <t>LAN</t>
  </si>
  <si>
    <t>Bogota</t>
  </si>
  <si>
    <t>192.168.48.0/24</t>
  </si>
  <si>
    <t>Tabla de IP/ Aironet</t>
  </si>
  <si>
    <t>guia de ciberseguiridad</t>
  </si>
  <si>
    <t>6:30 pm derecho hasta las 8:30 pm
8:30 a 9:45 pm servicios que falten de linux 2 semanas, la idea es que sigan en el proyecto, de junio 15 terminan hablar de sustentacion del 20 de junio en adelante</t>
  </si>
  <si>
    <t>Miercoles</t>
  </si>
  <si>
    <t>Viernes</t>
  </si>
  <si>
    <t>Samba, freradius, RAID</t>
  </si>
  <si>
    <t>Trim 7</t>
  </si>
  <si>
    <t>CUPS, Syslog, OpenLDAP, NFS, PXE</t>
  </si>
  <si>
    <r>
      <rPr>
        <u/>
        <sz val="11"/>
        <color theme="1"/>
        <rFont val="Calibri"/>
        <family val="2"/>
        <scheme val="minor"/>
      </rPr>
      <t>PRTG</t>
    </r>
    <r>
      <rPr>
        <sz val="11"/>
        <color theme="1"/>
        <rFont val="Calibri"/>
        <family val="2"/>
        <scheme val="minor"/>
      </rPr>
      <t>, Zabix, librems, centreon, cacti y Natgios</t>
    </r>
  </si>
  <si>
    <t>SMTPS, SSH y NTP</t>
  </si>
  <si>
    <t>X</t>
  </si>
  <si>
    <t>Responsable de Isla: Diego</t>
  </si>
  <si>
    <t>Responsable de Isla: William</t>
  </si>
  <si>
    <t>Lider windows</t>
  </si>
  <si>
    <t>Andrés Ramirez</t>
  </si>
  <si>
    <t>Harby torres</t>
  </si>
  <si>
    <t>Juan Diego Banquez</t>
  </si>
  <si>
    <t>Sebastian Celis</t>
  </si>
  <si>
    <t>Johan Loboa</t>
  </si>
  <si>
    <t>Maycol Hoyos</t>
  </si>
  <si>
    <t>Camilo Villada</t>
  </si>
  <si>
    <t>Andrés Garay</t>
  </si>
  <si>
    <t>Julián Lugo</t>
  </si>
  <si>
    <t>Johan Certuche</t>
  </si>
  <si>
    <t>Daniel Arboleda</t>
  </si>
  <si>
    <t>Líder Cisco</t>
  </si>
  <si>
    <t>Líder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</si>
</sst>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7">
    <xf numFmtId="0" fontId="0" fillId="0" borderId="0" xfId="0"/>
    <xf numFmtId="0" fontId="0" fillId="0" borderId="1" xfId="0" applyBorder="1" applyAlignment="1">
      <alignment horizontal="center"/>
    </xf>
    <xf numFmtId="9" fontId="0" fillId="0" borderId="1" xfId="1" applyFont="1" applyBorder="1"/>
    <xf numFmtId="9" fontId="0" fillId="0" borderId="1" xfId="0" applyNumberFormat="1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/>
    <xf numFmtId="0" fontId="0" fillId="5" borderId="2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2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0" fillId="9" borderId="1" xfId="0" applyFill="1" applyBorder="1"/>
    <xf numFmtId="0" fontId="0" fillId="9" borderId="1" xfId="0" applyFill="1" applyBorder="1" applyAlignment="1">
      <alignment horizontal="left"/>
    </xf>
    <xf numFmtId="0" fontId="0" fillId="9" borderId="1" xfId="0" applyFill="1" applyBorder="1" applyAlignment="1">
      <alignment horizontal="left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/>
    <xf numFmtId="17" fontId="0" fillId="0" borderId="1" xfId="0" applyNumberFormat="1" applyBorder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left" vertical="top" wrapText="1"/>
    </xf>
    <xf numFmtId="0" fontId="0" fillId="10" borderId="5" xfId="0" applyFill="1" applyBorder="1"/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top" wrapText="1"/>
    </xf>
    <xf numFmtId="0" fontId="2" fillId="0" borderId="4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9" borderId="0" xfId="0" applyFill="1" applyBorder="1" applyAlignment="1">
      <alignment horizontal="left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20</xdr:col>
      <xdr:colOff>448899</xdr:colOff>
      <xdr:row>40</xdr:row>
      <xdr:rowOff>152400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A9E2A84-C933-08C6-4B18-DB72F5BA32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5688899" cy="777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EE8AA-3134-4785-ADB5-BBC34C45D02D}">
  <dimension ref="A1:W21"/>
  <sheetViews>
    <sheetView tabSelected="1" topLeftCell="I1" zoomScale="115" zoomScaleNormal="115" workbookViewId="0">
      <selection activeCell="W9" sqref="W9"/>
    </sheetView>
  </sheetViews>
  <sheetFormatPr baseColWidth="10" defaultRowHeight="15" x14ac:dyDescent="0.25"/>
  <cols>
    <col min="1" max="1" width="16.5703125" customWidth="1"/>
    <col min="2" max="2" width="19.140625" customWidth="1"/>
    <col min="3" max="3" width="13.5703125" style="17" customWidth="1"/>
    <col min="4" max="4" width="6" customWidth="1"/>
    <col min="5" max="5" width="7.85546875" style="17" bestFit="1" customWidth="1"/>
    <col min="6" max="6" width="5.85546875" style="4" customWidth="1"/>
    <col min="7" max="7" width="19.85546875" customWidth="1"/>
    <col min="8" max="8" width="15.28515625" bestFit="1" customWidth="1"/>
    <col min="9" max="9" width="11.42578125" style="17"/>
    <col min="10" max="10" width="6.140625" customWidth="1"/>
    <col min="11" max="11" width="9.7109375" style="4" customWidth="1"/>
    <col min="12" max="12" width="2.85546875" customWidth="1"/>
    <col min="13" max="13" width="15" customWidth="1"/>
    <col min="14" max="14" width="20.85546875" bestFit="1" customWidth="1"/>
    <col min="15" max="15" width="14.140625" customWidth="1"/>
    <col min="17" max="17" width="9.5703125" customWidth="1"/>
    <col min="18" max="18" width="4.5703125" customWidth="1"/>
    <col min="22" max="22" width="6.85546875" customWidth="1"/>
  </cols>
  <sheetData>
    <row r="1" spans="1:23" x14ac:dyDescent="0.25">
      <c r="A1" t="s">
        <v>34</v>
      </c>
      <c r="B1" s="30" t="s">
        <v>89</v>
      </c>
      <c r="C1" s="30"/>
      <c r="D1" s="30"/>
      <c r="E1" s="30"/>
      <c r="G1" t="s">
        <v>32</v>
      </c>
      <c r="H1" s="30" t="s">
        <v>88</v>
      </c>
      <c r="I1" s="30"/>
      <c r="J1" s="30"/>
      <c r="K1" s="30"/>
      <c r="M1" t="s">
        <v>33</v>
      </c>
      <c r="N1" s="30" t="s">
        <v>53</v>
      </c>
      <c r="O1" s="30"/>
      <c r="P1" s="30"/>
      <c r="Q1" s="30"/>
      <c r="S1" t="s">
        <v>50</v>
      </c>
      <c r="T1" s="30" t="s">
        <v>54</v>
      </c>
      <c r="U1" s="30"/>
      <c r="V1" s="30"/>
      <c r="W1" s="30"/>
    </row>
    <row r="2" spans="1:23" x14ac:dyDescent="0.25">
      <c r="A2" s="1" t="s">
        <v>17</v>
      </c>
      <c r="B2" s="1" t="s">
        <v>18</v>
      </c>
      <c r="C2" s="5" t="s">
        <v>21</v>
      </c>
      <c r="D2" s="1" t="s">
        <v>19</v>
      </c>
      <c r="E2" s="5" t="s">
        <v>20</v>
      </c>
      <c r="G2" s="7" t="s">
        <v>17</v>
      </c>
      <c r="H2" s="7" t="s">
        <v>18</v>
      </c>
      <c r="I2" s="18" t="s">
        <v>21</v>
      </c>
      <c r="J2" s="7" t="s">
        <v>19</v>
      </c>
      <c r="K2" s="7" t="s">
        <v>20</v>
      </c>
      <c r="M2" s="7" t="s">
        <v>17</v>
      </c>
      <c r="N2" s="7" t="s">
        <v>18</v>
      </c>
      <c r="O2" s="7" t="s">
        <v>21</v>
      </c>
      <c r="P2" s="7" t="s">
        <v>19</v>
      </c>
      <c r="Q2" s="7" t="s">
        <v>20</v>
      </c>
      <c r="S2" s="7" t="s">
        <v>17</v>
      </c>
      <c r="T2" s="7" t="s">
        <v>18</v>
      </c>
      <c r="U2" s="7" t="s">
        <v>21</v>
      </c>
      <c r="V2" s="7" t="s">
        <v>19</v>
      </c>
      <c r="W2" s="7" t="s">
        <v>20</v>
      </c>
    </row>
    <row r="3" spans="1:23" x14ac:dyDescent="0.25">
      <c r="A3" s="20" t="s">
        <v>1</v>
      </c>
      <c r="B3" s="10" t="s">
        <v>100</v>
      </c>
      <c r="C3" s="5"/>
      <c r="D3" s="2">
        <v>0.1</v>
      </c>
      <c r="E3" s="5"/>
      <c r="G3" s="20" t="s">
        <v>35</v>
      </c>
      <c r="H3" s="10" t="s">
        <v>96</v>
      </c>
      <c r="I3" s="5"/>
      <c r="J3" s="2">
        <v>0.1</v>
      </c>
      <c r="K3" s="5"/>
      <c r="M3" s="21" t="s">
        <v>22</v>
      </c>
      <c r="N3" s="9" t="s">
        <v>92</v>
      </c>
      <c r="O3" s="5"/>
      <c r="P3" s="2">
        <v>0.1</v>
      </c>
      <c r="Q3" s="5"/>
      <c r="S3" s="21"/>
      <c r="T3" s="9"/>
      <c r="U3" s="5"/>
      <c r="V3" s="2"/>
      <c r="W3" s="5"/>
    </row>
    <row r="4" spans="1:23" x14ac:dyDescent="0.25">
      <c r="A4" s="20" t="s">
        <v>6</v>
      </c>
      <c r="B4" s="12" t="s">
        <v>95</v>
      </c>
      <c r="C4" s="23"/>
      <c r="D4" s="2">
        <v>0.05</v>
      </c>
      <c r="E4" s="5"/>
      <c r="G4" s="20" t="s">
        <v>36</v>
      </c>
      <c r="H4" s="10" t="s">
        <v>100</v>
      </c>
      <c r="I4" s="5"/>
      <c r="J4" s="2">
        <v>0.05</v>
      </c>
      <c r="K4" s="5"/>
      <c r="M4" s="21" t="s">
        <v>12</v>
      </c>
      <c r="N4" s="10" t="s">
        <v>96</v>
      </c>
      <c r="O4" s="23"/>
      <c r="P4" s="2">
        <v>0.05</v>
      </c>
      <c r="Q4" s="5"/>
      <c r="S4" s="21"/>
      <c r="T4" s="9"/>
      <c r="U4" s="5"/>
      <c r="V4" s="2"/>
      <c r="W4" s="5"/>
    </row>
    <row r="5" spans="1:23" x14ac:dyDescent="0.25">
      <c r="A5" s="20" t="s">
        <v>7</v>
      </c>
      <c r="B5" s="12" t="s">
        <v>95</v>
      </c>
      <c r="C5" s="5"/>
      <c r="D5" s="2">
        <v>0.05</v>
      </c>
      <c r="E5" s="19"/>
      <c r="F5" s="4" t="s">
        <v>87</v>
      </c>
      <c r="G5" s="20" t="s">
        <v>37</v>
      </c>
      <c r="H5" s="12" t="s">
        <v>96</v>
      </c>
      <c r="I5" s="5"/>
      <c r="J5" s="2">
        <v>0.05</v>
      </c>
      <c r="K5" s="19"/>
      <c r="M5" s="21" t="s">
        <v>23</v>
      </c>
      <c r="N5" s="9" t="s">
        <v>98</v>
      </c>
      <c r="O5" s="23"/>
      <c r="P5" s="2">
        <v>0.05</v>
      </c>
      <c r="Q5" s="19"/>
      <c r="S5" s="21"/>
      <c r="T5" s="9"/>
      <c r="U5" s="5"/>
      <c r="V5" s="2"/>
      <c r="W5" s="19"/>
    </row>
    <row r="6" spans="1:23" x14ac:dyDescent="0.25">
      <c r="A6" s="20" t="s">
        <v>8</v>
      </c>
      <c r="B6" s="12" t="s">
        <v>95</v>
      </c>
      <c r="C6" s="5"/>
      <c r="D6" s="2">
        <v>0.05</v>
      </c>
      <c r="E6" s="5"/>
      <c r="G6" s="20" t="s">
        <v>38</v>
      </c>
      <c r="H6" s="9" t="s">
        <v>98</v>
      </c>
      <c r="I6" s="5"/>
      <c r="J6" s="2">
        <v>0.05</v>
      </c>
      <c r="K6" s="5"/>
      <c r="M6" s="21" t="s">
        <v>51</v>
      </c>
      <c r="N6" s="10" t="s">
        <v>100</v>
      </c>
      <c r="O6" s="23"/>
      <c r="P6" s="2">
        <v>0.05</v>
      </c>
      <c r="Q6" s="5"/>
      <c r="S6" s="21"/>
      <c r="T6" s="10"/>
      <c r="U6" s="5"/>
      <c r="V6" s="2"/>
      <c r="W6" s="5"/>
    </row>
    <row r="7" spans="1:23" x14ac:dyDescent="0.25">
      <c r="A7" s="20" t="s">
        <v>12</v>
      </c>
      <c r="B7" s="9" t="s">
        <v>92</v>
      </c>
      <c r="C7" s="23"/>
      <c r="D7" s="2">
        <v>0.05</v>
      </c>
      <c r="E7" s="5"/>
      <c r="G7" s="20" t="s">
        <v>39</v>
      </c>
      <c r="H7" s="10" t="s">
        <v>97</v>
      </c>
      <c r="I7" s="5"/>
      <c r="J7" s="2">
        <v>0.05</v>
      </c>
      <c r="K7" s="5"/>
      <c r="M7" s="21" t="s">
        <v>55</v>
      </c>
      <c r="N7" s="10" t="s">
        <v>100</v>
      </c>
      <c r="O7" s="23"/>
      <c r="P7" s="2">
        <v>0.05</v>
      </c>
      <c r="Q7" s="5"/>
      <c r="S7" s="21"/>
      <c r="T7" s="11"/>
      <c r="U7" s="5"/>
      <c r="V7" s="2"/>
      <c r="W7" s="5"/>
    </row>
    <row r="8" spans="1:23" x14ac:dyDescent="0.25">
      <c r="A8" s="20" t="s">
        <v>3</v>
      </c>
      <c r="B8" s="9" t="s">
        <v>94</v>
      </c>
      <c r="C8" s="23"/>
      <c r="D8" s="2">
        <v>0.05</v>
      </c>
      <c r="E8" s="5"/>
      <c r="G8" s="20" t="s">
        <v>40</v>
      </c>
      <c r="H8" s="9" t="s">
        <v>101</v>
      </c>
      <c r="I8" s="5"/>
      <c r="J8" s="2">
        <v>0.05</v>
      </c>
      <c r="K8" s="5"/>
      <c r="M8" s="21" t="s">
        <v>24</v>
      </c>
      <c r="N8" s="9" t="s">
        <v>92</v>
      </c>
      <c r="O8" s="23"/>
      <c r="P8" s="2">
        <v>0.05</v>
      </c>
      <c r="Q8" s="5"/>
      <c r="S8" s="21"/>
      <c r="T8" s="10"/>
      <c r="U8" s="5"/>
      <c r="V8" s="2"/>
      <c r="W8" s="5"/>
    </row>
    <row r="9" spans="1:23" x14ac:dyDescent="0.25">
      <c r="A9" s="20" t="s">
        <v>10</v>
      </c>
      <c r="B9" s="10" t="s">
        <v>96</v>
      </c>
      <c r="C9" s="5"/>
      <c r="D9" s="2">
        <v>0.05</v>
      </c>
      <c r="E9" s="19"/>
      <c r="F9" s="4" t="s">
        <v>87</v>
      </c>
      <c r="G9" s="20" t="s">
        <v>41</v>
      </c>
      <c r="H9" s="12" t="s">
        <v>91</v>
      </c>
      <c r="I9" s="5"/>
      <c r="J9" s="2">
        <v>0.05</v>
      </c>
      <c r="K9" s="19"/>
      <c r="M9" s="21" t="s">
        <v>7</v>
      </c>
      <c r="N9" s="10" t="s">
        <v>97</v>
      </c>
      <c r="O9" s="5"/>
      <c r="P9" s="2">
        <v>0.05</v>
      </c>
      <c r="Q9" s="19"/>
      <c r="S9" s="21"/>
      <c r="T9" s="11"/>
      <c r="U9" s="5"/>
      <c r="V9" s="2"/>
      <c r="W9" s="19"/>
    </row>
    <row r="10" spans="1:23" x14ac:dyDescent="0.25">
      <c r="A10" s="20" t="s">
        <v>11</v>
      </c>
      <c r="B10" s="12" t="s">
        <v>91</v>
      </c>
      <c r="C10" s="5"/>
      <c r="D10" s="2">
        <v>0.05</v>
      </c>
      <c r="E10" s="5"/>
      <c r="F10" s="4" t="s">
        <v>87</v>
      </c>
      <c r="G10" s="20" t="s">
        <v>42</v>
      </c>
      <c r="H10" s="10" t="s">
        <v>94</v>
      </c>
      <c r="I10" s="5"/>
      <c r="J10" s="2">
        <v>0.05</v>
      </c>
      <c r="K10" s="5"/>
      <c r="M10" s="21" t="s">
        <v>25</v>
      </c>
      <c r="N10" s="10" t="s">
        <v>94</v>
      </c>
      <c r="O10" s="23"/>
      <c r="P10" s="2">
        <v>0.05</v>
      </c>
      <c r="Q10" s="5"/>
      <c r="S10" s="21"/>
      <c r="T10" s="12"/>
      <c r="U10" s="5"/>
      <c r="V10" s="2"/>
      <c r="W10" s="5"/>
    </row>
    <row r="11" spans="1:23" x14ac:dyDescent="0.25">
      <c r="A11" s="20" t="s">
        <v>14</v>
      </c>
      <c r="B11" s="10" t="s">
        <v>97</v>
      </c>
      <c r="C11" s="5"/>
      <c r="D11" s="2">
        <v>0.05</v>
      </c>
      <c r="E11" s="5"/>
      <c r="F11" s="4" t="s">
        <v>87</v>
      </c>
      <c r="G11" s="20" t="s">
        <v>43</v>
      </c>
      <c r="H11" s="10" t="s">
        <v>97</v>
      </c>
      <c r="I11" s="5"/>
      <c r="J11" s="2">
        <v>0.05</v>
      </c>
      <c r="K11" s="5"/>
      <c r="M11" s="21" t="s">
        <v>26</v>
      </c>
      <c r="N11" s="9" t="s">
        <v>101</v>
      </c>
      <c r="O11" s="5"/>
      <c r="P11" s="2">
        <v>0.1</v>
      </c>
      <c r="Q11" s="5"/>
      <c r="S11" s="21"/>
      <c r="T11" s="12"/>
      <c r="U11" s="5"/>
      <c r="V11" s="2"/>
      <c r="W11" s="5"/>
    </row>
    <row r="12" spans="1:23" x14ac:dyDescent="0.25">
      <c r="A12" s="20" t="s">
        <v>0</v>
      </c>
      <c r="B12" s="10" t="s">
        <v>93</v>
      </c>
      <c r="C12" s="23"/>
      <c r="D12" s="2">
        <v>0.1</v>
      </c>
      <c r="E12" s="5"/>
      <c r="G12" s="20" t="s">
        <v>44</v>
      </c>
      <c r="H12" s="9" t="s">
        <v>98</v>
      </c>
      <c r="I12" s="5"/>
      <c r="J12" s="2">
        <v>0.1</v>
      </c>
      <c r="K12" s="5"/>
      <c r="M12" s="22" t="s">
        <v>27</v>
      </c>
      <c r="N12" s="10" t="s">
        <v>96</v>
      </c>
      <c r="O12" s="5"/>
      <c r="P12" s="2">
        <v>0.15</v>
      </c>
      <c r="Q12" s="5"/>
      <c r="S12" s="22"/>
      <c r="T12" s="13"/>
      <c r="U12" s="5"/>
      <c r="V12" s="2"/>
      <c r="W12" s="5"/>
    </row>
    <row r="13" spans="1:23" x14ac:dyDescent="0.25">
      <c r="A13" s="20" t="s">
        <v>9</v>
      </c>
      <c r="B13" s="10" t="s">
        <v>94</v>
      </c>
      <c r="C13" s="5"/>
      <c r="D13" s="2">
        <v>0.05</v>
      </c>
      <c r="E13" s="5"/>
      <c r="G13" s="8" t="s">
        <v>77</v>
      </c>
      <c r="H13" s="10" t="s">
        <v>99</v>
      </c>
      <c r="I13" s="5"/>
      <c r="J13" s="2">
        <v>0.05</v>
      </c>
      <c r="K13" s="5"/>
      <c r="M13" s="21" t="s">
        <v>14</v>
      </c>
      <c r="N13" s="10" t="s">
        <v>99</v>
      </c>
      <c r="O13" s="23"/>
      <c r="P13" s="2">
        <v>0.05</v>
      </c>
      <c r="Q13" s="5"/>
      <c r="S13" s="21"/>
      <c r="T13" s="14"/>
      <c r="U13" s="5"/>
      <c r="V13" s="2"/>
      <c r="W13" s="5"/>
    </row>
    <row r="14" spans="1:23" x14ac:dyDescent="0.25">
      <c r="A14" s="20" t="s">
        <v>15</v>
      </c>
      <c r="B14" s="10" t="s">
        <v>97</v>
      </c>
      <c r="C14" s="5"/>
      <c r="D14" s="2">
        <v>0.05</v>
      </c>
      <c r="E14" s="19"/>
      <c r="F14" s="4" t="s">
        <v>87</v>
      </c>
      <c r="G14" s="20" t="s">
        <v>45</v>
      </c>
      <c r="H14" s="10" t="s">
        <v>101</v>
      </c>
      <c r="I14" s="5"/>
      <c r="J14" s="2">
        <v>0.05</v>
      </c>
      <c r="K14" s="19"/>
      <c r="M14" s="21" t="s">
        <v>28</v>
      </c>
      <c r="N14" s="10" t="s">
        <v>99</v>
      </c>
      <c r="O14" s="23"/>
      <c r="P14" s="2">
        <v>0.05</v>
      </c>
      <c r="Q14" s="19"/>
      <c r="S14" s="21"/>
      <c r="T14" s="14"/>
      <c r="U14" s="5"/>
      <c r="V14" s="2"/>
      <c r="W14" s="19"/>
    </row>
    <row r="15" spans="1:23" x14ac:dyDescent="0.25">
      <c r="A15" s="20" t="s">
        <v>16</v>
      </c>
      <c r="B15" s="10" t="s">
        <v>91</v>
      </c>
      <c r="C15" s="5"/>
      <c r="D15" s="2">
        <v>0.05</v>
      </c>
      <c r="E15" s="5"/>
      <c r="F15" s="4" t="s">
        <v>87</v>
      </c>
      <c r="G15" s="20" t="s">
        <v>46</v>
      </c>
      <c r="H15" s="10" t="s">
        <v>94</v>
      </c>
      <c r="I15" s="5"/>
      <c r="J15" s="2">
        <v>0.05</v>
      </c>
      <c r="K15" s="5"/>
      <c r="M15" s="21" t="s">
        <v>29</v>
      </c>
      <c r="N15" s="10" t="s">
        <v>94</v>
      </c>
      <c r="O15" s="5"/>
      <c r="P15" s="2">
        <v>0.05</v>
      </c>
      <c r="Q15" s="5"/>
      <c r="S15" s="21"/>
      <c r="T15" s="14"/>
      <c r="U15" s="5"/>
      <c r="V15" s="2"/>
      <c r="W15" s="5"/>
    </row>
    <row r="16" spans="1:23" x14ac:dyDescent="0.25">
      <c r="A16" s="20" t="s">
        <v>31</v>
      </c>
      <c r="B16" s="10" t="s">
        <v>101</v>
      </c>
      <c r="C16" s="5"/>
      <c r="D16" s="2">
        <v>0.05</v>
      </c>
      <c r="E16" s="5"/>
      <c r="G16" s="20" t="s">
        <v>47</v>
      </c>
      <c r="H16" s="9" t="s">
        <v>92</v>
      </c>
      <c r="I16" s="5"/>
      <c r="J16" s="2">
        <v>0.05</v>
      </c>
      <c r="K16" s="5"/>
      <c r="M16" s="21" t="s">
        <v>30</v>
      </c>
      <c r="N16" s="9" t="s">
        <v>101</v>
      </c>
      <c r="O16" s="5"/>
      <c r="P16" s="2">
        <v>0.05</v>
      </c>
      <c r="Q16" s="5"/>
      <c r="S16" s="21"/>
      <c r="T16" s="15"/>
      <c r="U16" s="5"/>
      <c r="V16" s="2"/>
      <c r="W16" s="5"/>
    </row>
    <row r="17" spans="1:23" x14ac:dyDescent="0.25">
      <c r="A17" s="20" t="s">
        <v>2</v>
      </c>
      <c r="B17" s="9" t="s">
        <v>98</v>
      </c>
      <c r="C17" s="23"/>
      <c r="D17" s="2">
        <v>0.05</v>
      </c>
      <c r="E17" s="5"/>
      <c r="G17" s="20" t="s">
        <v>15</v>
      </c>
      <c r="H17" s="10" t="s">
        <v>93</v>
      </c>
      <c r="I17" s="5"/>
      <c r="J17" s="2">
        <v>0.05</v>
      </c>
      <c r="K17" s="5"/>
      <c r="M17" s="21" t="s">
        <v>16</v>
      </c>
      <c r="N17" s="10" t="s">
        <v>97</v>
      </c>
      <c r="O17" s="5"/>
      <c r="P17" s="2">
        <v>0.05</v>
      </c>
      <c r="Q17" s="5"/>
      <c r="S17" s="21"/>
      <c r="T17" s="15"/>
      <c r="U17" s="5"/>
      <c r="V17" s="2"/>
      <c r="W17" s="5"/>
    </row>
    <row r="18" spans="1:23" x14ac:dyDescent="0.25">
      <c r="A18" s="20" t="s">
        <v>4</v>
      </c>
      <c r="B18" s="9" t="s">
        <v>92</v>
      </c>
      <c r="C18" s="23"/>
      <c r="D18" s="2">
        <v>0.05</v>
      </c>
      <c r="E18" s="19"/>
      <c r="F18" s="4" t="s">
        <v>87</v>
      </c>
      <c r="G18" s="20" t="s">
        <v>48</v>
      </c>
      <c r="H18" s="12" t="s">
        <v>95</v>
      </c>
      <c r="I18" s="5"/>
      <c r="J18" s="2">
        <v>0.05</v>
      </c>
      <c r="K18" s="19"/>
      <c r="M18" s="21" t="s">
        <v>8</v>
      </c>
      <c r="N18" s="9" t="s">
        <v>98</v>
      </c>
      <c r="O18" s="5"/>
      <c r="P18" s="2">
        <v>0.05</v>
      </c>
      <c r="Q18" s="19"/>
      <c r="S18" s="21"/>
      <c r="T18" s="16"/>
      <c r="U18" s="5"/>
      <c r="V18" s="2"/>
      <c r="W18" s="19"/>
    </row>
    <row r="19" spans="1:23" x14ac:dyDescent="0.25">
      <c r="A19" s="20" t="s">
        <v>5</v>
      </c>
      <c r="B19" s="9" t="s">
        <v>99</v>
      </c>
      <c r="C19" s="23"/>
      <c r="D19" s="2">
        <v>0.05</v>
      </c>
      <c r="E19" s="5"/>
      <c r="G19" s="20" t="s">
        <v>14</v>
      </c>
      <c r="H19" s="10" t="s">
        <v>93</v>
      </c>
      <c r="I19" s="5"/>
      <c r="J19" s="2">
        <v>0.05</v>
      </c>
      <c r="K19" s="5"/>
      <c r="M19" s="21"/>
      <c r="N19" s="10" t="s">
        <v>52</v>
      </c>
      <c r="O19" s="5"/>
      <c r="P19" s="2">
        <v>0.05</v>
      </c>
      <c r="Q19" s="5"/>
      <c r="S19" s="21"/>
      <c r="T19" s="6"/>
      <c r="U19" s="5"/>
      <c r="V19" s="2"/>
      <c r="W19" s="5"/>
    </row>
    <row r="20" spans="1:23" x14ac:dyDescent="0.25">
      <c r="A20" s="20" t="s">
        <v>13</v>
      </c>
      <c r="B20" s="10" t="s">
        <v>96</v>
      </c>
      <c r="C20" s="5"/>
      <c r="D20" s="2">
        <v>0.05</v>
      </c>
      <c r="E20" s="5"/>
      <c r="G20" s="20" t="s">
        <v>49</v>
      </c>
      <c r="H20" s="9" t="s">
        <v>99</v>
      </c>
      <c r="I20" s="5"/>
      <c r="J20" s="2">
        <v>0.05</v>
      </c>
      <c r="K20" s="5"/>
      <c r="O20" s="17"/>
      <c r="P20" s="3">
        <f>SUM(P3:P18)</f>
        <v>1.0000000000000002</v>
      </c>
      <c r="Q20" s="5"/>
      <c r="U20" s="17"/>
      <c r="V20" s="3">
        <f>SUM(V3:V18)</f>
        <v>0</v>
      </c>
      <c r="W20" s="5"/>
    </row>
    <row r="21" spans="1:23" x14ac:dyDescent="0.25">
      <c r="A21" s="29" t="s">
        <v>90</v>
      </c>
      <c r="B21" t="s">
        <v>91</v>
      </c>
      <c r="D21" s="3">
        <f>SUM(D3:D20)</f>
        <v>1.0000000000000002</v>
      </c>
      <c r="E21" s="5"/>
      <c r="G21" s="29" t="s">
        <v>102</v>
      </c>
      <c r="H21" t="s">
        <v>96</v>
      </c>
      <c r="J21" s="3">
        <f>SUM(J3:J20)</f>
        <v>1.0000000000000002</v>
      </c>
      <c r="K21" s="5"/>
      <c r="M21" s="36" t="s">
        <v>103</v>
      </c>
      <c r="N21" s="10" t="s">
        <v>93</v>
      </c>
      <c r="S21" t="s">
        <v>103</v>
      </c>
      <c r="T21" s="12" t="s">
        <v>95</v>
      </c>
    </row>
  </sheetData>
  <autoFilter ref="A2:Q2" xr:uid="{D1EEE8AA-3134-4785-ADB5-BBC34C45D02D}"/>
  <mergeCells count="4">
    <mergeCell ref="T1:W1"/>
    <mergeCell ref="N1:Q1"/>
    <mergeCell ref="H1:K1"/>
    <mergeCell ref="B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083A9-7DFF-46FF-BA6E-65BDF28CF2D0}">
  <dimension ref="A1"/>
  <sheetViews>
    <sheetView topLeftCell="A7" zoomScaleNormal="100" workbookViewId="0">
      <selection activeCell="D45" sqref="D4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E0EBA-1CEC-43E3-9AFD-657B794D1D90}">
  <dimension ref="A2:J13"/>
  <sheetViews>
    <sheetView zoomScale="175" zoomScaleNormal="175" workbookViewId="0">
      <selection activeCell="E6" sqref="E6:E8"/>
    </sheetView>
  </sheetViews>
  <sheetFormatPr baseColWidth="10" defaultRowHeight="15" x14ac:dyDescent="0.25"/>
  <cols>
    <col min="1" max="1" width="5.85546875" bestFit="1" customWidth="1"/>
    <col min="2" max="2" width="16.42578125" bestFit="1" customWidth="1"/>
    <col min="3" max="3" width="21.28515625" bestFit="1" customWidth="1"/>
    <col min="4" max="5" width="6.85546875" bestFit="1" customWidth="1"/>
  </cols>
  <sheetData>
    <row r="2" spans="1:10" x14ac:dyDescent="0.25">
      <c r="A2" s="26" t="s">
        <v>56</v>
      </c>
      <c r="B2" s="26" t="s">
        <v>57</v>
      </c>
      <c r="C2" s="26" t="s">
        <v>58</v>
      </c>
      <c r="D2" s="26" t="s">
        <v>59</v>
      </c>
      <c r="E2" s="26" t="s">
        <v>60</v>
      </c>
      <c r="F2" s="27" t="s">
        <v>71</v>
      </c>
    </row>
    <row r="3" spans="1:10" x14ac:dyDescent="0.25">
      <c r="A3" s="24">
        <v>10</v>
      </c>
      <c r="B3" s="24" t="s">
        <v>61</v>
      </c>
      <c r="C3" s="25" t="s">
        <v>64</v>
      </c>
      <c r="D3" s="24" t="s">
        <v>67</v>
      </c>
      <c r="E3" s="31" t="s">
        <v>69</v>
      </c>
      <c r="F3" s="1">
        <v>13</v>
      </c>
    </row>
    <row r="4" spans="1:10" x14ac:dyDescent="0.25">
      <c r="A4" s="24">
        <v>20</v>
      </c>
      <c r="B4" s="24" t="s">
        <v>62</v>
      </c>
      <c r="C4" s="24" t="s">
        <v>65</v>
      </c>
      <c r="D4" s="24" t="s">
        <v>67</v>
      </c>
      <c r="E4" s="31"/>
      <c r="F4" s="1">
        <v>4</v>
      </c>
    </row>
    <row r="5" spans="1:10" x14ac:dyDescent="0.25">
      <c r="A5" s="24">
        <v>30</v>
      </c>
      <c r="B5" s="24" t="s">
        <v>63</v>
      </c>
      <c r="C5" s="24" t="s">
        <v>66</v>
      </c>
      <c r="D5" s="24" t="s">
        <v>68</v>
      </c>
      <c r="E5" s="31"/>
      <c r="F5" s="1">
        <v>7</v>
      </c>
    </row>
    <row r="6" spans="1:10" x14ac:dyDescent="0.25">
      <c r="A6" s="24">
        <v>40</v>
      </c>
      <c r="B6" s="24" t="s">
        <v>73</v>
      </c>
      <c r="C6" s="25" t="s">
        <v>64</v>
      </c>
      <c r="D6" s="24" t="s">
        <v>67</v>
      </c>
      <c r="E6" s="31" t="s">
        <v>75</v>
      </c>
      <c r="F6" s="1">
        <v>13</v>
      </c>
    </row>
    <row r="7" spans="1:10" x14ac:dyDescent="0.25">
      <c r="A7" s="24">
        <v>50</v>
      </c>
      <c r="B7" s="24" t="s">
        <v>74</v>
      </c>
      <c r="C7" s="24" t="s">
        <v>65</v>
      </c>
      <c r="D7" s="24" t="s">
        <v>67</v>
      </c>
      <c r="E7" s="31"/>
      <c r="F7" s="1">
        <v>4</v>
      </c>
    </row>
    <row r="8" spans="1:10" x14ac:dyDescent="0.25">
      <c r="A8" s="24">
        <v>60</v>
      </c>
      <c r="B8" s="24" t="s">
        <v>72</v>
      </c>
      <c r="C8" s="24" t="s">
        <v>66</v>
      </c>
      <c r="D8" s="24" t="s">
        <v>68</v>
      </c>
      <c r="E8" s="31"/>
      <c r="F8" s="1">
        <v>7</v>
      </c>
    </row>
    <row r="10" spans="1:10" x14ac:dyDescent="0.25">
      <c r="A10" t="s">
        <v>70</v>
      </c>
      <c r="B10" t="s">
        <v>76</v>
      </c>
    </row>
    <row r="12" spans="1:10" ht="15" customHeight="1" x14ac:dyDescent="0.25">
      <c r="A12" s="32" t="s">
        <v>78</v>
      </c>
      <c r="B12" s="32"/>
      <c r="C12" s="33" t="s">
        <v>79</v>
      </c>
      <c r="D12" s="33"/>
      <c r="E12" s="33"/>
      <c r="F12" s="33"/>
      <c r="G12" s="27" t="s">
        <v>80</v>
      </c>
      <c r="H12" s="27" t="s">
        <v>81</v>
      </c>
      <c r="I12" s="34" t="s">
        <v>83</v>
      </c>
      <c r="J12" s="35"/>
    </row>
    <row r="13" spans="1:10" ht="76.5" customHeight="1" x14ac:dyDescent="0.25">
      <c r="A13" s="24"/>
      <c r="B13" s="24"/>
      <c r="C13" s="33"/>
      <c r="D13" s="33"/>
      <c r="E13" s="33"/>
      <c r="F13" s="33"/>
      <c r="G13" s="28" t="s">
        <v>86</v>
      </c>
      <c r="H13" s="28" t="s">
        <v>82</v>
      </c>
      <c r="I13" s="28" t="s">
        <v>84</v>
      </c>
      <c r="J13" s="28" t="s">
        <v>85</v>
      </c>
    </row>
  </sheetData>
  <mergeCells count="5">
    <mergeCell ref="E3:E5"/>
    <mergeCell ref="E6:E8"/>
    <mergeCell ref="A12:B12"/>
    <mergeCell ref="C12:F13"/>
    <mergeCell ref="I12:J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Proyecto GRD-53</vt:lpstr>
      <vt:lpstr>Topologia</vt:lpstr>
      <vt:lpstr>Direccionamiento</vt:lpstr>
    </vt:vector>
  </TitlesOfParts>
  <Company>SENA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Felipe Tarira Restrepo</dc:creator>
  <cp:lastModifiedBy>Diego Fernando Rodriguez Mapallo</cp:lastModifiedBy>
  <dcterms:created xsi:type="dcterms:W3CDTF">2023-09-14T00:40:03Z</dcterms:created>
  <dcterms:modified xsi:type="dcterms:W3CDTF">2026-04-23T16:34:14Z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2023-09-14T01:03:46Z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f77d5f8b-566e-4187-b94e-aed44349cb46</vt:lpwstr>
  </property>
  <property fmtid="{D5CDD505-2E9C-101B-9397-08002B2CF9AE}" pid="8" name="MSIP_Label_1299739c-ad3d-4908-806e-4d91151a6e13_ContentBits">
    <vt:lpwstr>0</vt:lpwstr>
  </property>
</Properties>
</file>